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L:\2 курс\ПиР ИП\ЛР\ЛР 1.19 Парковая беседка ДЭ\"/>
    </mc:Choice>
  </mc:AlternateContent>
  <xr:revisionPtr revIDLastSave="0" documentId="13_ncr:1_{9277BFF9-1D56-4BC5-A40C-989479F98AC8}" xr6:coauthVersionLast="47" xr6:coauthVersionMax="47" xr10:uidLastSave="{00000000-0000-0000-0000-000000000000}"/>
  <bookViews>
    <workbookView xWindow="-108" yWindow="-108" windowWidth="23256" windowHeight="14016" xr2:uid="{D9623D3B-4A80-42E6-86DF-77F48211DC68}"/>
  </bookViews>
  <sheets>
    <sheet name="Критерии" sheetId="1" r:id="rId1"/>
    <sheet name="Оценки" sheetId="2" r:id="rId2"/>
  </sheets>
  <definedNames>
    <definedName name="_xlnm._FilterDatabase" localSheetId="0" hidden="1">Критерии!$A$1:$F$113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K3" i="2"/>
  <c r="J3" i="2"/>
  <c r="H3" i="2"/>
  <c r="G3" i="2"/>
  <c r="E3" i="2"/>
  <c r="D3" i="2"/>
  <c r="C110" i="1"/>
  <c r="C105" i="1"/>
  <c r="C100" i="1"/>
  <c r="C95" i="1"/>
  <c r="C90" i="1"/>
  <c r="C85" i="1"/>
  <c r="C80" i="1"/>
  <c r="C75" i="1"/>
  <c r="C70" i="1"/>
  <c r="C65" i="1"/>
  <c r="C60" i="1"/>
  <c r="C55" i="1"/>
  <c r="C50" i="1"/>
  <c r="C45" i="1"/>
  <c r="C40" i="1"/>
  <c r="C35" i="1"/>
  <c r="C30" i="1"/>
  <c r="B35" i="1" l="1"/>
  <c r="B50" i="1" l="1"/>
  <c r="B45" i="1"/>
  <c r="C25" i="1"/>
  <c r="C21" i="1"/>
  <c r="C17" i="1"/>
  <c r="C13" i="1"/>
  <c r="C8" i="1"/>
  <c r="C3" i="1"/>
  <c r="B60" i="1" l="1"/>
  <c r="B70" i="1"/>
  <c r="B100" i="1"/>
  <c r="B85" i="1"/>
  <c r="B3" i="1"/>
  <c r="C1" i="1"/>
  <c r="D1" i="1" s="1"/>
  <c r="B1" i="1" l="1"/>
</calcChain>
</file>

<file path=xl/sharedStrings.xml><?xml version="1.0" encoding="utf-8"?>
<sst xmlns="http://schemas.openxmlformats.org/spreadsheetml/2006/main" count="128" uniqueCount="121">
  <si>
    <t>А2Д1 Разработка графического интерфейса с интуитивно понятной структурой приложения</t>
  </si>
  <si>
    <t>0 - Переход между разделами невозможен</t>
  </si>
  <si>
    <t>1 - Часть разделов недоступна для перехода</t>
  </si>
  <si>
    <t>А3. Программировать в соответствии с требованиями технического задания (8.00)</t>
  </si>
  <si>
    <t>2 - Отсутствует избыточность</t>
  </si>
  <si>
    <t>А3Д2 Программирование в соответствии с требованиями технического задания</t>
  </si>
  <si>
    <t>1 - Страница регистрации разработана, соответствие заданию составляет не менее 50%</t>
  </si>
  <si>
    <t>2 - Страница регистрации разработана в полном соответствии с заданием</t>
  </si>
  <si>
    <t>А3Д3 Программирование в соответствии с требованиями технического задания</t>
  </si>
  <si>
    <t>1 - Страница авторизации разработана, соответствие заданию составляет не менее 50%</t>
  </si>
  <si>
    <t>2 - Страница авторизации разработана в полном соответствии с заданием</t>
  </si>
  <si>
    <t>А3Д4 Программирование в соответствии с требованиями технического задания</t>
  </si>
  <si>
    <t>1 - Панель администратора разработана, соответствие заданию составляет не менее 50%</t>
  </si>
  <si>
    <t>2 - Панель администратора разработана в полном соответствии с заданием</t>
  </si>
  <si>
    <t>А4Д1 Соответствие разработки предметной области</t>
  </si>
  <si>
    <t>0 - Несоответствие разработки предметной области</t>
  </si>
  <si>
    <t>1 - Частичное соответствие разработки предметной области</t>
  </si>
  <si>
    <t>2 - Полное соответствие разработки предметной области</t>
  </si>
  <si>
    <t>Б2Д1 Разработка внутренней структуры информационной системы с учетом требований к технологиям разработки, изложенным в задании</t>
  </si>
  <si>
    <t>В1. Структурировать получаемую информацию (4.00)</t>
  </si>
  <si>
    <t>0 - Соответствие заданию менее 50%</t>
  </si>
  <si>
    <t>1 - Соответствие заданию на 50% и более</t>
  </si>
  <si>
    <t>2 - Полное соответствие заданию</t>
  </si>
  <si>
    <t>Г1. Придерживаться оригинальной концепции дизайна проекта и улучшать его визуальную привлекательность (4.00)</t>
  </si>
  <si>
    <t>Г1Д1 Улучшение визуальной привлекательности проекта путем использования цветовой палитры (цветовых схем)</t>
  </si>
  <si>
    <t>Г2. Разрабатывать дизайн веб-приложений в соответствии со стандартами и требованиями заказчика (4.00)</t>
  </si>
  <si>
    <t>Г2Д1 Соответствие разработанного дизайна требованиям задания</t>
  </si>
  <si>
    <t>0 - Дизайн не соответствует требованиям задания</t>
  </si>
  <si>
    <t>1 - Дизайн частично соответствует требованиям задания</t>
  </si>
  <si>
    <t>2 - Дизайн полностью соответствует требованиям задания</t>
  </si>
  <si>
    <t>Д1. Выбирать наиболее подходящее для целевого рынка дизайнерское решение (4.00)</t>
  </si>
  <si>
    <t>Д1Д1 Разработка дизайна с учетом специфики целевого рынка</t>
  </si>
  <si>
    <t>0 - Дизайн разработан без учета специфики целевого рынка</t>
  </si>
  <si>
    <t>1 - Дизайн разработан с частичным учетом специфики целевого рынка</t>
  </si>
  <si>
    <t>2 - Специфика целевого рынка учтена: дизайн имеет элементы, визуально или функционально соответствующие конкретному рынку/целевой аудитории</t>
  </si>
  <si>
    <t>Д2Д1 Разработка базы данных с учетом особенностей структуры разрабатываемой системы</t>
  </si>
  <si>
    <t>1 - Изображения созданы и применяются в работе приложения</t>
  </si>
  <si>
    <t>2 - Изображения созданы, оптимизированы и применяются в работе приложения</t>
  </si>
  <si>
    <t>E2. Создавать «отзывчивый» дизайн, отображаемый корректно на различных устройствах и при разных разрешениях (4.00)</t>
  </si>
  <si>
    <t>0 - Работа в приложении невозможна</t>
  </si>
  <si>
    <t>2 - Отображение корректное</t>
  </si>
  <si>
    <t>E3. Использовать специальные графические редакторы (4.00)</t>
  </si>
  <si>
    <t>Е3Д1 Использование специальных графических редакторов</t>
  </si>
  <si>
    <t>0 - Графический редактор не использован</t>
  </si>
  <si>
    <t>2 - Использованы специальные графические редакторы</t>
  </si>
  <si>
    <t>Ж1. Выполнять верстку страниц веб-приложений (6.00)</t>
  </si>
  <si>
    <t>Ж1Д1 Выполнение верстки страниц с учетом адаптивности</t>
  </si>
  <si>
    <t>0 - Верстка выполнена некорректно либо отсутствует</t>
  </si>
  <si>
    <t>1 - Выполнена простая верстка</t>
  </si>
  <si>
    <t>2 - Выполнена адаптивная верстка</t>
  </si>
  <si>
    <t>З1. Оформлять код программы в соответствии со стандартом кодирования (4.00)</t>
  </si>
  <si>
    <t>З1Д1 Оформление кода в соответствии с имеющимися правилами и соглашениями</t>
  </si>
  <si>
    <t>0 - Код нечитабелен</t>
  </si>
  <si>
    <t>2 - Код имеет понятную структуру, комментарии, оформление кода соответствует нормам и правилам</t>
  </si>
  <si>
    <t>З2. Разрабатывать анимационные эффекты (4.00)</t>
  </si>
  <si>
    <t>З2Д1 Разработка анимационных эффектов, улучшающих пользовательский опыт</t>
  </si>
  <si>
    <t>0 - Анимация не разработана</t>
  </si>
  <si>
    <t>2 - Анимация разработана, не перегружает страницу</t>
  </si>
  <si>
    <t>З3. Разрабатывать интерфейс пользователя (4.00)</t>
  </si>
  <si>
    <t>З3Д1 Разработка дружественного пользовательского интерфейса</t>
  </si>
  <si>
    <t>1 - Интерфейс интуитивно понятен, но не логичен</t>
  </si>
  <si>
    <t>2 - Интерфейс интуитивно понятен, имеет подсказки</t>
  </si>
  <si>
    <t>-</t>
  </si>
  <si>
    <t>З</t>
  </si>
  <si>
    <t>А</t>
  </si>
  <si>
    <t>Б</t>
  </si>
  <si>
    <t>В</t>
  </si>
  <si>
    <t>Г</t>
  </si>
  <si>
    <t>Д</t>
  </si>
  <si>
    <t>Е</t>
  </si>
  <si>
    <t>Ж</t>
  </si>
  <si>
    <t>0 - Два и более избыточных элемента не указанных в задании</t>
  </si>
  <si>
    <t>1 - Присутствует до одного избыточного элемента (лишний код, недоступный код, мертвый код и т.д.)</t>
  </si>
  <si>
    <t>0 - Страница авторизации разработана, соответствие заданию составляет менее 50%/страница авторизации не разработана (не осуществляет переход в профили пользователя / администратора)</t>
  </si>
  <si>
    <t>0 - Панель администратора разработана, соответствие заданию составляет менее 50%/панель администратора не разработана (нет заголовка, заявок и т.д.)</t>
  </si>
  <si>
    <t>Б1Д1 Модификация одной или нескольких страниц информационной системы, т.е. отличие их друг от друга дизайном/структурой кода.</t>
  </si>
  <si>
    <t>1 - Модифицирована одна страница</t>
  </si>
  <si>
    <t>2 - Модифицировано две и более страниц</t>
  </si>
  <si>
    <t>Б2. Проектировать и разрабатывать дизайн системы по заданным требованиям и спецификациям (2.00)</t>
  </si>
  <si>
    <t>0 - Внутренняя структура файлов дизайна системы не соответствует требованиям. Не создано необходимое количество страниц (до 4-х страниц)</t>
  </si>
  <si>
    <t>1 - Внутренняя структура файлов дизайна системы частично соответствует требованиям. Одна страница не создана или не созданы файлы стилей</t>
  </si>
  <si>
    <t>2 - Внутренняя структура файлов дизайна системы полностью соответствует требованиям. Созданы все страницы и файлы стилей</t>
  </si>
  <si>
    <t>В1Д1 Соответствие структуры дизайн системы заданию</t>
  </si>
  <si>
    <t>0 - Дизайн разработан без учета специфики обработки заявок</t>
  </si>
  <si>
    <t>1 - Дизайн разработан с частичным учетом специфики обработки заявок</t>
  </si>
  <si>
    <t>2 - Специфика обработки заявок учтена: дизайн имеет элементы, визуально или функционально соответствующие цели системы</t>
  </si>
  <si>
    <t>Е2Д1 Корректное отображение дизайна информационной системы на различных устройствах и при разных разрешениях</t>
  </si>
  <si>
    <t>Ж3. Использовать профессиональные решения при разработке дизайна (4.00)</t>
  </si>
  <si>
    <t>Ж3Д1 Использование профессиональных решений при разработке дизайна системы</t>
  </si>
  <si>
    <t>0 - Решения не используются (SCSS)</t>
  </si>
  <si>
    <t>2 - Система разработана с использованием профессиональных решений (SCSS)</t>
  </si>
  <si>
    <t>1 - Система разработана с минимальным использованием профессиональных решений (SCSS использутеся, но без переменных или миксинов)</t>
  </si>
  <si>
    <t>А1. Использование языков разметки и сценариев для создания независимых разделов (4.00)</t>
  </si>
  <si>
    <t>А1Д1 Верстка с использованием нескольких языков разметки или сценариев</t>
  </si>
  <si>
    <t>2 - Использованы более двух языков (HTML, CSS, SCSS или JS)</t>
  </si>
  <si>
    <t>0 - Использован один язык либо менее одного (HTML)</t>
  </si>
  <si>
    <t>А2. Разработка графического интерфейса приложения (4.00)</t>
  </si>
  <si>
    <t>2 - Присутствуют переходы между всеми разделами, интерфейс интуитивно понятен</t>
  </si>
  <si>
    <t>А3Д1 Разработка кода страниц системы в строгом соответствии с заданием. Отсутствует избыточный код</t>
  </si>
  <si>
    <t>0 - Страница регистрации разработана, соответствие заданию составляет менее 50%/страница регистрации не разработана (не выполняет переход на страницу авторизации)</t>
  </si>
  <si>
    <t>А4. Создание и управление проектом по разработке дизайна приложения, формулирование его задач (2.00)</t>
  </si>
  <si>
    <t>Б1. Модификация отдельных страниц информационной системы (2.00)</t>
  </si>
  <si>
    <t>0 - Структура и дизайн страниц идентичны</t>
  </si>
  <si>
    <t>0 - Дизайн неудобен для пользователя, количество цветов в дизайне делает затруднительным использование приложения</t>
  </si>
  <si>
    <t>1 - Использование большого количества цветов на каждой странице, излишний контраст между элементами</t>
  </si>
  <si>
    <t>2 - Приятный дизайн, плавные переходы, отсутствие перенасыщения цветами</t>
  </si>
  <si>
    <t>Д2. Разработка решений для администрирования (4.00)</t>
  </si>
  <si>
    <t>Е1Д1 Создание, оптимизация и использование изображений в разрабатываемом дизайне</t>
  </si>
  <si>
    <t>E1. Создание, использование и оптимизация изображений для дизайна веб-приложения (4.00)</t>
  </si>
  <si>
    <t>0 - Изображения не созданы или не применяются</t>
  </si>
  <si>
    <t>1 - Наблюдаются незначительные отклонения, не мешающие работе с приложением</t>
  </si>
  <si>
    <t>1 - Использован встроенный графический редактор ОС</t>
  </si>
  <si>
    <t>Ж2. Разрабатывать интерактивный пользовательский интерфейс (4.00)</t>
  </si>
  <si>
    <t>Ж2Д1 Разработка интерфейса с учетом особенностей системы</t>
  </si>
  <si>
    <t>0 - Интерактивная часть не разработана</t>
  </si>
  <si>
    <t>2 - Интерактивная часть разработана и функционирует</t>
  </si>
  <si>
    <t>1 - Интерактивная часть разработана, но не функционирует</t>
  </si>
  <si>
    <t>1 - Код не структурирован или не имеет комментариев</t>
  </si>
  <si>
    <t>1 - Анимация есть, но избыточна</t>
  </si>
  <si>
    <t>0 - Интерфейс сложен, требует обучения</t>
  </si>
  <si>
    <t>1 - Использовано более одного языка (HTML, CSS)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</si>
</sst>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rgb="FF404040"/>
      <name val="Arial"/>
      <family val="2"/>
      <charset val="204"/>
    </font>
    <font>
      <b/>
      <sz val="12"/>
      <color rgb="FF404040"/>
      <name val="Arial"/>
      <family val="2"/>
      <charset val="204"/>
    </font>
    <font>
      <b/>
      <sz val="11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11"/>
      <color rgb="FF404040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/>
    <xf numFmtId="10" fontId="0" fillId="0" borderId="2" xfId="1" applyNumberFormat="1" applyFont="1" applyBorder="1"/>
    <xf numFmtId="2" fontId="0" fillId="0" borderId="3" xfId="0" quotePrefix="1" applyNumberFormat="1" applyBorder="1" applyAlignment="1">
      <alignment horizontal="center"/>
    </xf>
    <xf numFmtId="10" fontId="0" fillId="0" borderId="4" xfId="1" applyNumberFormat="1" applyFont="1" applyBorder="1"/>
    <xf numFmtId="2" fontId="0" fillId="0" borderId="5" xfId="0" applyNumberFormat="1" applyBorder="1" applyAlignment="1">
      <alignment horizontal="center"/>
    </xf>
    <xf numFmtId="2" fontId="0" fillId="0" borderId="6" xfId="0" quotePrefix="1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0" xfId="0" applyFont="1" applyBorder="1"/>
    <xf numFmtId="2" fontId="2" fillId="0" borderId="0" xfId="0" applyNumberFormat="1" applyFont="1" applyBorder="1"/>
    <xf numFmtId="2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" fontId="2" fillId="0" borderId="8" xfId="0" applyNumberFormat="1" applyFont="1" applyBorder="1"/>
    <xf numFmtId="2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/>
    </xf>
    <xf numFmtId="2" fontId="2" fillId="0" borderId="8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2" fontId="3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2" fontId="7" fillId="2" borderId="8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wrapText="1"/>
    </xf>
    <xf numFmtId="0" fontId="3" fillId="3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</cellXfs>
  <cellStyles count="2">
    <cellStyle name="Обычный" xfId="0" builtinId="0"/>
    <cellStyle name="Процентный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9DA4-A388-432A-8D2A-588DF7332C68}">
  <dimension ref="A1:F115"/>
  <sheetViews>
    <sheetView tabSelected="1" zoomScale="160" zoomScaleNormal="160" workbookViewId="0">
      <pane ySplit="1" topLeftCell="A86" activePane="bottomLeft" state="frozen"/>
      <selection pane="bottomLeft" activeCell="D1" sqref="D1"/>
    </sheetView>
  </sheetViews>
  <sheetFormatPr defaultColWidth="9.109375" defaultRowHeight="14.4" x14ac:dyDescent="0.25"/>
  <cols>
    <col min="1" max="1" width="3.21875" style="19" customWidth="1"/>
    <col min="2" max="2" width="9.109375" style="20"/>
    <col min="3" max="3" width="9.109375" style="10"/>
    <col min="4" max="4" width="9.109375" style="11"/>
    <col min="5" max="5" width="87.6640625" style="33" customWidth="1"/>
    <col min="6" max="6" width="9.109375" style="9"/>
    <col min="7" max="16384" width="9.109375" style="8"/>
  </cols>
  <sheetData>
    <row r="1" spans="1:6" x14ac:dyDescent="0.25">
      <c r="A1" s="17"/>
      <c r="B1" s="12">
        <f>SUM(B2:B113)</f>
        <v>35</v>
      </c>
      <c r="C1" s="12">
        <f>SUM(C2:C113)</f>
        <v>35</v>
      </c>
      <c r="D1" s="13">
        <f>IF(C1&lt;Оценки!E3,2,IF(C1&lt;Оценки!H3,3,IF(C1&lt;Оценки!K3,4,5)))</f>
        <v>2</v>
      </c>
      <c r="E1" s="28"/>
      <c r="F1" s="14"/>
    </row>
    <row r="2" spans="1:6" ht="30" x14ac:dyDescent="0.25">
      <c r="A2" s="17"/>
      <c r="B2" s="18"/>
      <c r="C2" s="15"/>
      <c r="D2" s="16"/>
      <c r="E2" s="29" t="s">
        <v>92</v>
      </c>
      <c r="F2" s="14"/>
    </row>
    <row r="3" spans="1:6" ht="31.2" x14ac:dyDescent="0.25">
      <c r="A3" s="23" t="s">
        <v>64</v>
      </c>
      <c r="B3" s="21">
        <f>SUM(C3:C33)</f>
        <v>7</v>
      </c>
      <c r="C3" s="26">
        <f>F3*D3/2</f>
        <v>2</v>
      </c>
      <c r="D3" s="25">
        <v>1</v>
      </c>
      <c r="E3" s="30" t="s">
        <v>93</v>
      </c>
      <c r="F3" s="24">
        <v>4</v>
      </c>
    </row>
    <row r="4" spans="1:6" ht="15" x14ac:dyDescent="0.25">
      <c r="A4" s="23"/>
      <c r="B4" s="22"/>
      <c r="C4" s="26"/>
      <c r="D4" s="25"/>
      <c r="E4" s="31" t="s">
        <v>95</v>
      </c>
      <c r="F4" s="24"/>
    </row>
    <row r="5" spans="1:6" ht="15" x14ac:dyDescent="0.25">
      <c r="A5" s="23"/>
      <c r="B5" s="22"/>
      <c r="C5" s="26"/>
      <c r="D5" s="25"/>
      <c r="E5" s="31" t="s">
        <v>120</v>
      </c>
      <c r="F5" s="24"/>
    </row>
    <row r="6" spans="1:6" ht="15" x14ac:dyDescent="0.25">
      <c r="A6" s="23"/>
      <c r="B6" s="22"/>
      <c r="C6" s="26"/>
      <c r="D6" s="25"/>
      <c r="E6" s="31" t="s">
        <v>94</v>
      </c>
      <c r="F6" s="24"/>
    </row>
    <row r="7" spans="1:6" ht="15" x14ac:dyDescent="0.25">
      <c r="A7" s="23"/>
      <c r="B7" s="22"/>
      <c r="C7" s="15"/>
      <c r="D7" s="16"/>
      <c r="E7" s="29" t="s">
        <v>96</v>
      </c>
      <c r="F7" s="14"/>
    </row>
    <row r="8" spans="1:6" ht="31.2" x14ac:dyDescent="0.25">
      <c r="A8" s="23"/>
      <c r="B8" s="22"/>
      <c r="C8" s="26">
        <f>F8*D8/2</f>
        <v>2</v>
      </c>
      <c r="D8" s="25">
        <v>1</v>
      </c>
      <c r="E8" s="30" t="s">
        <v>0</v>
      </c>
      <c r="F8" s="24">
        <v>4</v>
      </c>
    </row>
    <row r="9" spans="1:6" ht="15" x14ac:dyDescent="0.25">
      <c r="A9" s="23"/>
      <c r="B9" s="22"/>
      <c r="C9" s="26"/>
      <c r="D9" s="25"/>
      <c r="E9" s="31" t="s">
        <v>1</v>
      </c>
      <c r="F9" s="24"/>
    </row>
    <row r="10" spans="1:6" ht="15" x14ac:dyDescent="0.25">
      <c r="A10" s="23"/>
      <c r="B10" s="22"/>
      <c r="C10" s="26"/>
      <c r="D10" s="25"/>
      <c r="E10" s="31" t="s">
        <v>2</v>
      </c>
      <c r="F10" s="24"/>
    </row>
    <row r="11" spans="1:6" ht="30" x14ac:dyDescent="0.25">
      <c r="A11" s="23"/>
      <c r="B11" s="22"/>
      <c r="C11" s="26"/>
      <c r="D11" s="25"/>
      <c r="E11" s="31" t="s">
        <v>97</v>
      </c>
      <c r="F11" s="24"/>
    </row>
    <row r="12" spans="1:6" ht="15" x14ac:dyDescent="0.25">
      <c r="A12" s="23"/>
      <c r="B12" s="22"/>
      <c r="C12" s="15"/>
      <c r="D12" s="16"/>
      <c r="E12" s="29" t="s">
        <v>3</v>
      </c>
      <c r="F12" s="14"/>
    </row>
    <row r="13" spans="1:6" ht="31.2" x14ac:dyDescent="0.25">
      <c r="A13" s="23"/>
      <c r="B13" s="22"/>
      <c r="C13" s="26">
        <f>F13*D13/2</f>
        <v>1</v>
      </c>
      <c r="D13" s="25">
        <v>1</v>
      </c>
      <c r="E13" s="30" t="s">
        <v>98</v>
      </c>
      <c r="F13" s="24">
        <v>2</v>
      </c>
    </row>
    <row r="14" spans="1:6" ht="15" x14ac:dyDescent="0.25">
      <c r="A14" s="23"/>
      <c r="B14" s="22"/>
      <c r="C14" s="26"/>
      <c r="D14" s="25"/>
      <c r="E14" s="31" t="s">
        <v>71</v>
      </c>
      <c r="F14" s="24"/>
    </row>
    <row r="15" spans="1:6" ht="30" x14ac:dyDescent="0.25">
      <c r="A15" s="23"/>
      <c r="B15" s="22"/>
      <c r="C15" s="26"/>
      <c r="D15" s="25"/>
      <c r="E15" s="31" t="s">
        <v>72</v>
      </c>
      <c r="F15" s="24"/>
    </row>
    <row r="16" spans="1:6" ht="15" x14ac:dyDescent="0.25">
      <c r="A16" s="23"/>
      <c r="B16" s="22"/>
      <c r="C16" s="26"/>
      <c r="D16" s="25"/>
      <c r="E16" s="31" t="s">
        <v>4</v>
      </c>
      <c r="F16" s="24"/>
    </row>
    <row r="17" spans="1:6" ht="31.2" x14ac:dyDescent="0.25">
      <c r="A17" s="23"/>
      <c r="B17" s="22"/>
      <c r="C17" s="26">
        <f>F17*D17/2</f>
        <v>1</v>
      </c>
      <c r="D17" s="25">
        <v>1</v>
      </c>
      <c r="E17" s="30" t="s">
        <v>5</v>
      </c>
      <c r="F17" s="24">
        <v>2</v>
      </c>
    </row>
    <row r="18" spans="1:6" ht="45" x14ac:dyDescent="0.25">
      <c r="A18" s="23"/>
      <c r="B18" s="22"/>
      <c r="C18" s="26"/>
      <c r="D18" s="25"/>
      <c r="E18" s="31" t="s">
        <v>99</v>
      </c>
      <c r="F18" s="24"/>
    </row>
    <row r="19" spans="1:6" ht="30" x14ac:dyDescent="0.25">
      <c r="A19" s="23"/>
      <c r="B19" s="22"/>
      <c r="C19" s="26"/>
      <c r="D19" s="25"/>
      <c r="E19" s="31" t="s">
        <v>6</v>
      </c>
      <c r="F19" s="24"/>
    </row>
    <row r="20" spans="1:6" ht="15" x14ac:dyDescent="0.25">
      <c r="A20" s="23"/>
      <c r="B20" s="22"/>
      <c r="C20" s="26"/>
      <c r="D20" s="25"/>
      <c r="E20" s="31" t="s">
        <v>7</v>
      </c>
      <c r="F20" s="24"/>
    </row>
    <row r="21" spans="1:6" ht="31.2" x14ac:dyDescent="0.25">
      <c r="A21" s="23"/>
      <c r="B21" s="22"/>
      <c r="C21" s="26">
        <f>F21*D21/2</f>
        <v>0</v>
      </c>
      <c r="D21" s="25">
        <v>0</v>
      </c>
      <c r="E21" s="30" t="s">
        <v>8</v>
      </c>
      <c r="F21" s="24">
        <v>2</v>
      </c>
    </row>
    <row r="22" spans="1:6" ht="45" x14ac:dyDescent="0.25">
      <c r="A22" s="23"/>
      <c r="B22" s="22"/>
      <c r="C22" s="26"/>
      <c r="D22" s="25"/>
      <c r="E22" s="31" t="s">
        <v>73</v>
      </c>
      <c r="F22" s="24"/>
    </row>
    <row r="23" spans="1:6" ht="30" x14ac:dyDescent="0.25">
      <c r="A23" s="23"/>
      <c r="B23" s="22"/>
      <c r="C23" s="26"/>
      <c r="D23" s="25"/>
      <c r="E23" s="31" t="s">
        <v>9</v>
      </c>
      <c r="F23" s="24"/>
    </row>
    <row r="24" spans="1:6" ht="15" x14ac:dyDescent="0.25">
      <c r="A24" s="23"/>
      <c r="B24" s="22"/>
      <c r="C24" s="26"/>
      <c r="D24" s="25"/>
      <c r="E24" s="31" t="s">
        <v>10</v>
      </c>
      <c r="F24" s="24"/>
    </row>
    <row r="25" spans="1:6" ht="31.2" x14ac:dyDescent="0.25">
      <c r="A25" s="23"/>
      <c r="B25" s="22"/>
      <c r="C25" s="26">
        <f>F25*D25/2</f>
        <v>0</v>
      </c>
      <c r="D25" s="25">
        <v>0</v>
      </c>
      <c r="E25" s="30" t="s">
        <v>11</v>
      </c>
      <c r="F25" s="24">
        <v>2</v>
      </c>
    </row>
    <row r="26" spans="1:6" ht="30" x14ac:dyDescent="0.25">
      <c r="A26" s="23"/>
      <c r="B26" s="22"/>
      <c r="C26" s="26"/>
      <c r="D26" s="25"/>
      <c r="E26" s="31" t="s">
        <v>74</v>
      </c>
      <c r="F26" s="24"/>
    </row>
    <row r="27" spans="1:6" ht="30" x14ac:dyDescent="0.25">
      <c r="A27" s="23"/>
      <c r="B27" s="22"/>
      <c r="C27" s="26"/>
      <c r="D27" s="25"/>
      <c r="E27" s="31" t="s">
        <v>12</v>
      </c>
      <c r="F27" s="24"/>
    </row>
    <row r="28" spans="1:6" ht="15" x14ac:dyDescent="0.25">
      <c r="A28" s="23"/>
      <c r="B28" s="22"/>
      <c r="C28" s="26"/>
      <c r="D28" s="25"/>
      <c r="E28" s="31" t="s">
        <v>13</v>
      </c>
      <c r="F28" s="24"/>
    </row>
    <row r="29" spans="1:6" ht="30" x14ac:dyDescent="0.25">
      <c r="A29" s="23"/>
      <c r="B29" s="22"/>
      <c r="C29" s="15"/>
      <c r="D29" s="16"/>
      <c r="E29" s="29" t="s">
        <v>100</v>
      </c>
      <c r="F29" s="14"/>
    </row>
    <row r="30" spans="1:6" ht="15.6" x14ac:dyDescent="0.25">
      <c r="A30" s="23"/>
      <c r="B30" s="22"/>
      <c r="C30" s="26">
        <f>F30*D30/2</f>
        <v>1</v>
      </c>
      <c r="D30" s="25">
        <v>1</v>
      </c>
      <c r="E30" s="30" t="s">
        <v>14</v>
      </c>
      <c r="F30" s="24">
        <v>2</v>
      </c>
    </row>
    <row r="31" spans="1:6" ht="15" x14ac:dyDescent="0.25">
      <c r="A31" s="23"/>
      <c r="B31" s="22"/>
      <c r="C31" s="26"/>
      <c r="D31" s="25"/>
      <c r="E31" s="31" t="s">
        <v>15</v>
      </c>
      <c r="F31" s="24"/>
    </row>
    <row r="32" spans="1:6" ht="15" x14ac:dyDescent="0.25">
      <c r="A32" s="23"/>
      <c r="B32" s="22"/>
      <c r="C32" s="26"/>
      <c r="D32" s="25"/>
      <c r="E32" s="31" t="s">
        <v>16</v>
      </c>
      <c r="F32" s="24"/>
    </row>
    <row r="33" spans="1:6" ht="15" x14ac:dyDescent="0.25">
      <c r="A33" s="23"/>
      <c r="B33" s="22"/>
      <c r="C33" s="26"/>
      <c r="D33" s="25"/>
      <c r="E33" s="31" t="s">
        <v>17</v>
      </c>
      <c r="F33" s="24"/>
    </row>
    <row r="34" spans="1:6" ht="15" x14ac:dyDescent="0.25">
      <c r="A34" s="17"/>
      <c r="B34" s="18"/>
      <c r="C34" s="15"/>
      <c r="D34" s="16"/>
      <c r="E34" s="29" t="s">
        <v>101</v>
      </c>
      <c r="F34" s="14"/>
    </row>
    <row r="35" spans="1:6" ht="31.2" x14ac:dyDescent="0.25">
      <c r="A35" s="23" t="s">
        <v>65</v>
      </c>
      <c r="B35" s="21">
        <f>SUM(C35:C43)</f>
        <v>3</v>
      </c>
      <c r="C35" s="26">
        <f>F35*D35/2</f>
        <v>2</v>
      </c>
      <c r="D35" s="25">
        <v>2</v>
      </c>
      <c r="E35" s="30" t="s">
        <v>75</v>
      </c>
      <c r="F35" s="24">
        <v>2</v>
      </c>
    </row>
    <row r="36" spans="1:6" ht="15" x14ac:dyDescent="0.25">
      <c r="A36" s="23"/>
      <c r="B36" s="22"/>
      <c r="C36" s="26"/>
      <c r="D36" s="25"/>
      <c r="E36" s="31" t="s">
        <v>102</v>
      </c>
      <c r="F36" s="24"/>
    </row>
    <row r="37" spans="1:6" ht="15" x14ac:dyDescent="0.25">
      <c r="A37" s="23"/>
      <c r="B37" s="22"/>
      <c r="C37" s="26"/>
      <c r="D37" s="25"/>
      <c r="E37" s="31" t="s">
        <v>76</v>
      </c>
      <c r="F37" s="24"/>
    </row>
    <row r="38" spans="1:6" ht="15" x14ac:dyDescent="0.25">
      <c r="A38" s="23"/>
      <c r="B38" s="22"/>
      <c r="C38" s="26"/>
      <c r="D38" s="25"/>
      <c r="E38" s="31" t="s">
        <v>77</v>
      </c>
      <c r="F38" s="24"/>
    </row>
    <row r="39" spans="1:6" ht="30" x14ac:dyDescent="0.25">
      <c r="A39" s="23"/>
      <c r="B39" s="22"/>
      <c r="C39" s="15"/>
      <c r="D39" s="16"/>
      <c r="E39" s="29" t="s">
        <v>78</v>
      </c>
      <c r="F39" s="14"/>
    </row>
    <row r="40" spans="1:6" ht="31.2" x14ac:dyDescent="0.25">
      <c r="A40" s="23"/>
      <c r="B40" s="22"/>
      <c r="C40" s="26">
        <f>F40*D40/2</f>
        <v>1</v>
      </c>
      <c r="D40" s="25">
        <v>1</v>
      </c>
      <c r="E40" s="30" t="s">
        <v>18</v>
      </c>
      <c r="F40" s="24">
        <v>2</v>
      </c>
    </row>
    <row r="41" spans="1:6" ht="30" x14ac:dyDescent="0.25">
      <c r="A41" s="23"/>
      <c r="B41" s="22"/>
      <c r="C41" s="26"/>
      <c r="D41" s="25"/>
      <c r="E41" s="31" t="s">
        <v>79</v>
      </c>
      <c r="F41" s="24"/>
    </row>
    <row r="42" spans="1:6" ht="30" x14ac:dyDescent="0.25">
      <c r="A42" s="23"/>
      <c r="B42" s="22"/>
      <c r="C42" s="26"/>
      <c r="D42" s="25"/>
      <c r="E42" s="31" t="s">
        <v>80</v>
      </c>
      <c r="F42" s="24"/>
    </row>
    <row r="43" spans="1:6" ht="30" x14ac:dyDescent="0.25">
      <c r="A43" s="23"/>
      <c r="B43" s="22"/>
      <c r="C43" s="26"/>
      <c r="D43" s="25"/>
      <c r="E43" s="31" t="s">
        <v>81</v>
      </c>
      <c r="F43" s="24"/>
    </row>
    <row r="44" spans="1:6" ht="15" x14ac:dyDescent="0.25">
      <c r="A44" s="17"/>
      <c r="B44" s="18"/>
      <c r="C44" s="15"/>
      <c r="D44" s="16"/>
      <c r="E44" s="29" t="s">
        <v>19</v>
      </c>
      <c r="F44" s="14"/>
    </row>
    <row r="45" spans="1:6" ht="15.6" x14ac:dyDescent="0.25">
      <c r="A45" s="23" t="s">
        <v>66</v>
      </c>
      <c r="B45" s="21">
        <f>C45</f>
        <v>2</v>
      </c>
      <c r="C45" s="26">
        <f>F45*D45/2</f>
        <v>2</v>
      </c>
      <c r="D45" s="25">
        <v>1</v>
      </c>
      <c r="E45" s="30" t="s">
        <v>82</v>
      </c>
      <c r="F45" s="24">
        <v>4</v>
      </c>
    </row>
    <row r="46" spans="1:6" ht="15" x14ac:dyDescent="0.25">
      <c r="A46" s="23"/>
      <c r="B46" s="22"/>
      <c r="C46" s="26"/>
      <c r="D46" s="25"/>
      <c r="E46" s="31" t="s">
        <v>20</v>
      </c>
      <c r="F46" s="24"/>
    </row>
    <row r="47" spans="1:6" ht="15" x14ac:dyDescent="0.25">
      <c r="A47" s="23"/>
      <c r="B47" s="22"/>
      <c r="C47" s="26"/>
      <c r="D47" s="25"/>
      <c r="E47" s="31" t="s">
        <v>21</v>
      </c>
      <c r="F47" s="24"/>
    </row>
    <row r="48" spans="1:6" ht="15" x14ac:dyDescent="0.25">
      <c r="A48" s="23"/>
      <c r="B48" s="22"/>
      <c r="C48" s="26"/>
      <c r="D48" s="25"/>
      <c r="E48" s="31" t="s">
        <v>22</v>
      </c>
      <c r="F48" s="24"/>
    </row>
    <row r="49" spans="1:6" ht="30" x14ac:dyDescent="0.25">
      <c r="A49" s="17"/>
      <c r="B49" s="18"/>
      <c r="C49" s="15"/>
      <c r="D49" s="16"/>
      <c r="E49" s="29" t="s">
        <v>23</v>
      </c>
      <c r="F49" s="14"/>
    </row>
    <row r="50" spans="1:6" ht="31.2" x14ac:dyDescent="0.25">
      <c r="A50" s="23" t="s">
        <v>67</v>
      </c>
      <c r="B50" s="21">
        <f>SUM(C50:C58)</f>
        <v>4</v>
      </c>
      <c r="C50" s="26">
        <f>F50*D50/2</f>
        <v>2</v>
      </c>
      <c r="D50" s="25">
        <v>1</v>
      </c>
      <c r="E50" s="30" t="s">
        <v>24</v>
      </c>
      <c r="F50" s="24">
        <v>4</v>
      </c>
    </row>
    <row r="51" spans="1:6" ht="30" x14ac:dyDescent="0.25">
      <c r="A51" s="23"/>
      <c r="B51" s="22"/>
      <c r="C51" s="26"/>
      <c r="D51" s="25"/>
      <c r="E51" s="31" t="s">
        <v>103</v>
      </c>
      <c r="F51" s="24"/>
    </row>
    <row r="52" spans="1:6" ht="30" x14ac:dyDescent="0.25">
      <c r="A52" s="23"/>
      <c r="B52" s="22"/>
      <c r="C52" s="26"/>
      <c r="D52" s="25"/>
      <c r="E52" s="31" t="s">
        <v>104</v>
      </c>
      <c r="F52" s="24"/>
    </row>
    <row r="53" spans="1:6" ht="15" x14ac:dyDescent="0.25">
      <c r="A53" s="23"/>
      <c r="B53" s="22"/>
      <c r="C53" s="26"/>
      <c r="D53" s="25"/>
      <c r="E53" s="31" t="s">
        <v>105</v>
      </c>
      <c r="F53" s="24"/>
    </row>
    <row r="54" spans="1:6" ht="30" x14ac:dyDescent="0.25">
      <c r="A54" s="23"/>
      <c r="B54" s="22"/>
      <c r="C54" s="15"/>
      <c r="D54" s="16"/>
      <c r="E54" s="29" t="s">
        <v>25</v>
      </c>
      <c r="F54" s="14"/>
    </row>
    <row r="55" spans="1:6" ht="15.6" x14ac:dyDescent="0.25">
      <c r="A55" s="23"/>
      <c r="B55" s="22"/>
      <c r="C55" s="26">
        <f>F55*D55/2</f>
        <v>2</v>
      </c>
      <c r="D55" s="25">
        <v>1</v>
      </c>
      <c r="E55" s="30" t="s">
        <v>26</v>
      </c>
      <c r="F55" s="24">
        <v>4</v>
      </c>
    </row>
    <row r="56" spans="1:6" ht="15" x14ac:dyDescent="0.25">
      <c r="A56" s="23"/>
      <c r="B56" s="22"/>
      <c r="C56" s="26"/>
      <c r="D56" s="25"/>
      <c r="E56" s="31" t="s">
        <v>27</v>
      </c>
      <c r="F56" s="24"/>
    </row>
    <row r="57" spans="1:6" ht="15" x14ac:dyDescent="0.25">
      <c r="A57" s="23"/>
      <c r="B57" s="22"/>
      <c r="C57" s="26"/>
      <c r="D57" s="25"/>
      <c r="E57" s="31" t="s">
        <v>28</v>
      </c>
      <c r="F57" s="24"/>
    </row>
    <row r="58" spans="1:6" ht="15" x14ac:dyDescent="0.25">
      <c r="A58" s="23"/>
      <c r="B58" s="22"/>
      <c r="C58" s="26"/>
      <c r="D58" s="25"/>
      <c r="E58" s="31" t="s">
        <v>29</v>
      </c>
      <c r="F58" s="24"/>
    </row>
    <row r="59" spans="1:6" ht="30" x14ac:dyDescent="0.25">
      <c r="A59" s="17"/>
      <c r="B59" s="18"/>
      <c r="C59" s="15"/>
      <c r="D59" s="16"/>
      <c r="E59" s="29" t="s">
        <v>30</v>
      </c>
      <c r="F59" s="14"/>
    </row>
    <row r="60" spans="1:6" ht="15.6" x14ac:dyDescent="0.25">
      <c r="A60" s="23" t="s">
        <v>68</v>
      </c>
      <c r="B60" s="21">
        <f>SUM(C60:C68)</f>
        <v>4</v>
      </c>
      <c r="C60" s="26">
        <f>F60*D60/2</f>
        <v>2</v>
      </c>
      <c r="D60" s="25">
        <v>1</v>
      </c>
      <c r="E60" s="30" t="s">
        <v>31</v>
      </c>
      <c r="F60" s="24">
        <v>4</v>
      </c>
    </row>
    <row r="61" spans="1:6" ht="15" x14ac:dyDescent="0.25">
      <c r="A61" s="23"/>
      <c r="B61" s="22"/>
      <c r="C61" s="26"/>
      <c r="D61" s="25"/>
      <c r="E61" s="31" t="s">
        <v>32</v>
      </c>
      <c r="F61" s="24"/>
    </row>
    <row r="62" spans="1:6" ht="15" x14ac:dyDescent="0.25">
      <c r="A62" s="23"/>
      <c r="B62" s="22"/>
      <c r="C62" s="26"/>
      <c r="D62" s="25"/>
      <c r="E62" s="31" t="s">
        <v>33</v>
      </c>
      <c r="F62" s="24"/>
    </row>
    <row r="63" spans="1:6" ht="30" x14ac:dyDescent="0.25">
      <c r="A63" s="23"/>
      <c r="B63" s="22"/>
      <c r="C63" s="26"/>
      <c r="D63" s="25"/>
      <c r="E63" s="31" t="s">
        <v>34</v>
      </c>
      <c r="F63" s="24"/>
    </row>
    <row r="64" spans="1:6" ht="15" x14ac:dyDescent="0.25">
      <c r="A64" s="23"/>
      <c r="B64" s="22"/>
      <c r="C64" s="15"/>
      <c r="D64" s="16"/>
      <c r="E64" s="29" t="s">
        <v>106</v>
      </c>
      <c r="F64" s="14"/>
    </row>
    <row r="65" spans="1:6" ht="31.2" x14ac:dyDescent="0.25">
      <c r="A65" s="23"/>
      <c r="B65" s="22"/>
      <c r="C65" s="26">
        <f>F65*D65/2</f>
        <v>2</v>
      </c>
      <c r="D65" s="25">
        <v>1</v>
      </c>
      <c r="E65" s="30" t="s">
        <v>35</v>
      </c>
      <c r="F65" s="24">
        <v>4</v>
      </c>
    </row>
    <row r="66" spans="1:6" ht="15" x14ac:dyDescent="0.25">
      <c r="A66" s="23"/>
      <c r="B66" s="22"/>
      <c r="C66" s="26"/>
      <c r="D66" s="25"/>
      <c r="E66" s="31" t="s">
        <v>83</v>
      </c>
      <c r="F66" s="24"/>
    </row>
    <row r="67" spans="1:6" ht="15" x14ac:dyDescent="0.25">
      <c r="A67" s="23"/>
      <c r="B67" s="22"/>
      <c r="C67" s="26"/>
      <c r="D67" s="25"/>
      <c r="E67" s="31" t="s">
        <v>84</v>
      </c>
      <c r="F67" s="24"/>
    </row>
    <row r="68" spans="1:6" ht="30" x14ac:dyDescent="0.25">
      <c r="A68" s="23"/>
      <c r="B68" s="22"/>
      <c r="C68" s="26"/>
      <c r="D68" s="25"/>
      <c r="E68" s="31" t="s">
        <v>85</v>
      </c>
      <c r="F68" s="24"/>
    </row>
    <row r="69" spans="1:6" ht="30" x14ac:dyDescent="0.25">
      <c r="A69" s="17"/>
      <c r="B69" s="18"/>
      <c r="C69" s="15"/>
      <c r="D69" s="16"/>
      <c r="E69" s="29" t="s">
        <v>108</v>
      </c>
      <c r="F69" s="14"/>
    </row>
    <row r="70" spans="1:6" ht="31.2" x14ac:dyDescent="0.25">
      <c r="A70" s="23" t="s">
        <v>69</v>
      </c>
      <c r="B70" s="21">
        <f>SUM(C70:C83)</f>
        <v>2</v>
      </c>
      <c r="C70" s="26">
        <f>F70*D70/2</f>
        <v>0</v>
      </c>
      <c r="D70" s="25">
        <v>0</v>
      </c>
      <c r="E70" s="30" t="s">
        <v>107</v>
      </c>
      <c r="F70" s="24">
        <v>4</v>
      </c>
    </row>
    <row r="71" spans="1:6" ht="15" x14ac:dyDescent="0.25">
      <c r="A71" s="23"/>
      <c r="B71" s="22"/>
      <c r="C71" s="26"/>
      <c r="D71" s="25"/>
      <c r="E71" s="31" t="s">
        <v>109</v>
      </c>
      <c r="F71" s="24"/>
    </row>
    <row r="72" spans="1:6" ht="15" x14ac:dyDescent="0.25">
      <c r="A72" s="23"/>
      <c r="B72" s="22"/>
      <c r="C72" s="26"/>
      <c r="D72" s="25"/>
      <c r="E72" s="31" t="s">
        <v>36</v>
      </c>
      <c r="F72" s="24"/>
    </row>
    <row r="73" spans="1:6" ht="15" x14ac:dyDescent="0.25">
      <c r="A73" s="23"/>
      <c r="B73" s="22"/>
      <c r="C73" s="26"/>
      <c r="D73" s="25"/>
      <c r="E73" s="31" t="s">
        <v>37</v>
      </c>
      <c r="F73" s="24"/>
    </row>
    <row r="74" spans="1:6" ht="30" x14ac:dyDescent="0.25">
      <c r="A74" s="23"/>
      <c r="B74" s="22"/>
      <c r="C74" s="15"/>
      <c r="D74" s="16"/>
      <c r="E74" s="29" t="s">
        <v>38</v>
      </c>
      <c r="F74" s="14"/>
    </row>
    <row r="75" spans="1:6" ht="31.2" x14ac:dyDescent="0.25">
      <c r="A75" s="23"/>
      <c r="B75" s="22"/>
      <c r="C75" s="26">
        <f>F75*D75/2</f>
        <v>2</v>
      </c>
      <c r="D75" s="25">
        <v>1</v>
      </c>
      <c r="E75" s="30" t="s">
        <v>86</v>
      </c>
      <c r="F75" s="24">
        <v>4</v>
      </c>
    </row>
    <row r="76" spans="1:6" ht="15" x14ac:dyDescent="0.25">
      <c r="A76" s="23"/>
      <c r="B76" s="22"/>
      <c r="C76" s="26"/>
      <c r="D76" s="25"/>
      <c r="E76" s="31" t="s">
        <v>39</v>
      </c>
      <c r="F76" s="24"/>
    </row>
    <row r="77" spans="1:6" ht="30" x14ac:dyDescent="0.25">
      <c r="A77" s="23"/>
      <c r="B77" s="22"/>
      <c r="C77" s="26"/>
      <c r="D77" s="25"/>
      <c r="E77" s="31" t="s">
        <v>110</v>
      </c>
      <c r="F77" s="24"/>
    </row>
    <row r="78" spans="1:6" ht="15" x14ac:dyDescent="0.25">
      <c r="A78" s="23"/>
      <c r="B78" s="22"/>
      <c r="C78" s="26"/>
      <c r="D78" s="25"/>
      <c r="E78" s="31" t="s">
        <v>40</v>
      </c>
      <c r="F78" s="24"/>
    </row>
    <row r="79" spans="1:6" ht="15" x14ac:dyDescent="0.25">
      <c r="A79" s="23"/>
      <c r="B79" s="22"/>
      <c r="C79" s="15"/>
      <c r="D79" s="16"/>
      <c r="E79" s="29" t="s">
        <v>41</v>
      </c>
      <c r="F79" s="14"/>
    </row>
    <row r="80" spans="1:6" ht="15.6" x14ac:dyDescent="0.25">
      <c r="A80" s="23"/>
      <c r="B80" s="22"/>
      <c r="C80" s="26">
        <f>F80*D80/2</f>
        <v>0</v>
      </c>
      <c r="D80" s="25">
        <v>0</v>
      </c>
      <c r="E80" s="30" t="s">
        <v>42</v>
      </c>
      <c r="F80" s="24">
        <v>4</v>
      </c>
    </row>
    <row r="81" spans="1:6" ht="15" x14ac:dyDescent="0.25">
      <c r="A81" s="23"/>
      <c r="B81" s="22"/>
      <c r="C81" s="26"/>
      <c r="D81" s="25"/>
      <c r="E81" s="31" t="s">
        <v>43</v>
      </c>
      <c r="F81" s="24"/>
    </row>
    <row r="82" spans="1:6" ht="15" x14ac:dyDescent="0.25">
      <c r="A82" s="23"/>
      <c r="B82" s="22"/>
      <c r="C82" s="26"/>
      <c r="D82" s="25"/>
      <c r="E82" s="31" t="s">
        <v>111</v>
      </c>
      <c r="F82" s="24"/>
    </row>
    <row r="83" spans="1:6" ht="15" x14ac:dyDescent="0.25">
      <c r="A83" s="23"/>
      <c r="B83" s="22"/>
      <c r="C83" s="26"/>
      <c r="D83" s="25"/>
      <c r="E83" s="31" t="s">
        <v>44</v>
      </c>
      <c r="F83" s="24"/>
    </row>
    <row r="84" spans="1:6" ht="15" x14ac:dyDescent="0.25">
      <c r="A84" s="17"/>
      <c r="B84" s="18"/>
      <c r="C84" s="15"/>
      <c r="D84" s="16"/>
      <c r="E84" s="29" t="s">
        <v>45</v>
      </c>
      <c r="F84" s="14"/>
    </row>
    <row r="85" spans="1:6" ht="15.6" x14ac:dyDescent="0.25">
      <c r="A85" s="23" t="s">
        <v>70</v>
      </c>
      <c r="B85" s="21">
        <f>SUM(C85:C98)</f>
        <v>7</v>
      </c>
      <c r="C85" s="26">
        <f>F85*D85/2</f>
        <v>3</v>
      </c>
      <c r="D85" s="25">
        <v>1</v>
      </c>
      <c r="E85" s="30" t="s">
        <v>46</v>
      </c>
      <c r="F85" s="24">
        <v>6</v>
      </c>
    </row>
    <row r="86" spans="1:6" ht="15" x14ac:dyDescent="0.25">
      <c r="A86" s="23"/>
      <c r="B86" s="22"/>
      <c r="C86" s="26"/>
      <c r="D86" s="25"/>
      <c r="E86" s="31" t="s">
        <v>47</v>
      </c>
      <c r="F86" s="24"/>
    </row>
    <row r="87" spans="1:6" ht="15" x14ac:dyDescent="0.25">
      <c r="A87" s="23"/>
      <c r="B87" s="22"/>
      <c r="C87" s="26"/>
      <c r="D87" s="25"/>
      <c r="E87" s="31" t="s">
        <v>48</v>
      </c>
      <c r="F87" s="24"/>
    </row>
    <row r="88" spans="1:6" ht="15" x14ac:dyDescent="0.25">
      <c r="A88" s="23"/>
      <c r="B88" s="22"/>
      <c r="C88" s="26"/>
      <c r="D88" s="25"/>
      <c r="E88" s="31" t="s">
        <v>49</v>
      </c>
      <c r="F88" s="24"/>
    </row>
    <row r="89" spans="1:6" ht="15" x14ac:dyDescent="0.25">
      <c r="A89" s="23"/>
      <c r="B89" s="22"/>
      <c r="C89" s="15"/>
      <c r="D89" s="16"/>
      <c r="E89" s="29" t="s">
        <v>112</v>
      </c>
      <c r="F89" s="14"/>
    </row>
    <row r="90" spans="1:6" ht="15.6" x14ac:dyDescent="0.25">
      <c r="A90" s="23"/>
      <c r="B90" s="22"/>
      <c r="C90" s="26">
        <f>F90*D90/2</f>
        <v>2</v>
      </c>
      <c r="D90" s="25">
        <v>1</v>
      </c>
      <c r="E90" s="30" t="s">
        <v>113</v>
      </c>
      <c r="F90" s="24">
        <v>4</v>
      </c>
    </row>
    <row r="91" spans="1:6" ht="15" x14ac:dyDescent="0.25">
      <c r="A91" s="23"/>
      <c r="B91" s="22"/>
      <c r="C91" s="26"/>
      <c r="D91" s="25"/>
      <c r="E91" s="31" t="s">
        <v>114</v>
      </c>
      <c r="F91" s="24"/>
    </row>
    <row r="92" spans="1:6" ht="15" x14ac:dyDescent="0.25">
      <c r="A92" s="23"/>
      <c r="B92" s="22"/>
      <c r="C92" s="26"/>
      <c r="D92" s="25"/>
      <c r="E92" s="31" t="s">
        <v>116</v>
      </c>
      <c r="F92" s="24"/>
    </row>
    <row r="93" spans="1:6" ht="15" x14ac:dyDescent="0.25">
      <c r="A93" s="23"/>
      <c r="B93" s="22"/>
      <c r="C93" s="26"/>
      <c r="D93" s="25"/>
      <c r="E93" s="31" t="s">
        <v>115</v>
      </c>
      <c r="F93" s="24"/>
    </row>
    <row r="94" spans="1:6" ht="15" x14ac:dyDescent="0.25">
      <c r="A94" s="23"/>
      <c r="B94" s="22"/>
      <c r="C94" s="15"/>
      <c r="D94" s="16"/>
      <c r="E94" s="29" t="s">
        <v>87</v>
      </c>
      <c r="F94" s="14"/>
    </row>
    <row r="95" spans="1:6" ht="31.2" x14ac:dyDescent="0.25">
      <c r="A95" s="23"/>
      <c r="B95" s="22"/>
      <c r="C95" s="26">
        <f>F95*D95/2</f>
        <v>2</v>
      </c>
      <c r="D95" s="25">
        <v>1</v>
      </c>
      <c r="E95" s="30" t="s">
        <v>88</v>
      </c>
      <c r="F95" s="24">
        <v>4</v>
      </c>
    </row>
    <row r="96" spans="1:6" ht="15" x14ac:dyDescent="0.25">
      <c r="A96" s="23"/>
      <c r="B96" s="22"/>
      <c r="C96" s="26"/>
      <c r="D96" s="25"/>
      <c r="E96" s="31" t="s">
        <v>89</v>
      </c>
      <c r="F96" s="24"/>
    </row>
    <row r="97" spans="1:6" ht="30" x14ac:dyDescent="0.25">
      <c r="A97" s="23"/>
      <c r="B97" s="22"/>
      <c r="C97" s="26"/>
      <c r="D97" s="25"/>
      <c r="E97" s="31" t="s">
        <v>91</v>
      </c>
      <c r="F97" s="24"/>
    </row>
    <row r="98" spans="1:6" ht="15" x14ac:dyDescent="0.25">
      <c r="A98" s="23"/>
      <c r="B98" s="22"/>
      <c r="C98" s="26"/>
      <c r="D98" s="25"/>
      <c r="E98" s="31" t="s">
        <v>90</v>
      </c>
      <c r="F98" s="24"/>
    </row>
    <row r="99" spans="1:6" ht="15" x14ac:dyDescent="0.25">
      <c r="A99" s="17"/>
      <c r="B99" s="18"/>
      <c r="C99" s="15"/>
      <c r="D99" s="16"/>
      <c r="E99" s="29" t="s">
        <v>50</v>
      </c>
      <c r="F99" s="14"/>
    </row>
    <row r="100" spans="1:6" ht="31.2" x14ac:dyDescent="0.25">
      <c r="A100" s="23" t="s">
        <v>63</v>
      </c>
      <c r="B100" s="21">
        <f>SUM(C100:C113)</f>
        <v>6</v>
      </c>
      <c r="C100" s="26">
        <f>F100*D100/2</f>
        <v>2</v>
      </c>
      <c r="D100" s="25">
        <v>1</v>
      </c>
      <c r="E100" s="30" t="s">
        <v>51</v>
      </c>
      <c r="F100" s="24">
        <v>4</v>
      </c>
    </row>
    <row r="101" spans="1:6" ht="15" x14ac:dyDescent="0.25">
      <c r="A101" s="23"/>
      <c r="B101" s="22"/>
      <c r="C101" s="26"/>
      <c r="D101" s="25"/>
      <c r="E101" s="31" t="s">
        <v>52</v>
      </c>
      <c r="F101" s="24"/>
    </row>
    <row r="102" spans="1:6" ht="15" x14ac:dyDescent="0.25">
      <c r="A102" s="23"/>
      <c r="B102" s="22"/>
      <c r="C102" s="26"/>
      <c r="D102" s="25"/>
      <c r="E102" s="31" t="s">
        <v>117</v>
      </c>
      <c r="F102" s="24"/>
    </row>
    <row r="103" spans="1:6" ht="30" x14ac:dyDescent="0.25">
      <c r="A103" s="23"/>
      <c r="B103" s="22"/>
      <c r="C103" s="26"/>
      <c r="D103" s="25"/>
      <c r="E103" s="31" t="s">
        <v>53</v>
      </c>
      <c r="F103" s="24"/>
    </row>
    <row r="104" spans="1:6" ht="15" x14ac:dyDescent="0.25">
      <c r="A104" s="23"/>
      <c r="B104" s="22"/>
      <c r="C104" s="15"/>
      <c r="D104" s="16"/>
      <c r="E104" s="29" t="s">
        <v>54</v>
      </c>
      <c r="F104" s="14"/>
    </row>
    <row r="105" spans="1:6" ht="31.2" x14ac:dyDescent="0.25">
      <c r="A105" s="23"/>
      <c r="B105" s="22"/>
      <c r="C105" s="26">
        <f>F105*D105/2</f>
        <v>2</v>
      </c>
      <c r="D105" s="25">
        <v>1</v>
      </c>
      <c r="E105" s="30" t="s">
        <v>55</v>
      </c>
      <c r="F105" s="24">
        <v>4</v>
      </c>
    </row>
    <row r="106" spans="1:6" ht="15" x14ac:dyDescent="0.25">
      <c r="A106" s="23"/>
      <c r="B106" s="22"/>
      <c r="C106" s="26"/>
      <c r="D106" s="25"/>
      <c r="E106" s="31" t="s">
        <v>56</v>
      </c>
      <c r="F106" s="24"/>
    </row>
    <row r="107" spans="1:6" ht="15" x14ac:dyDescent="0.25">
      <c r="A107" s="23"/>
      <c r="B107" s="22"/>
      <c r="C107" s="26"/>
      <c r="D107" s="25"/>
      <c r="E107" s="31" t="s">
        <v>118</v>
      </c>
      <c r="F107" s="24"/>
    </row>
    <row r="108" spans="1:6" ht="15" x14ac:dyDescent="0.25">
      <c r="A108" s="23"/>
      <c r="B108" s="22"/>
      <c r="C108" s="26"/>
      <c r="D108" s="25"/>
      <c r="E108" s="31" t="s">
        <v>57</v>
      </c>
      <c r="F108" s="24"/>
    </row>
    <row r="109" spans="1:6" ht="15" x14ac:dyDescent="0.25">
      <c r="A109" s="23"/>
      <c r="B109" s="22"/>
      <c r="C109" s="15"/>
      <c r="D109" s="16"/>
      <c r="E109" s="29" t="s">
        <v>58</v>
      </c>
      <c r="F109" s="14"/>
    </row>
    <row r="110" spans="1:6" ht="15.6" x14ac:dyDescent="0.25">
      <c r="A110" s="23"/>
      <c r="B110" s="22"/>
      <c r="C110" s="26">
        <f>F110*D110/2</f>
        <v>2</v>
      </c>
      <c r="D110" s="25">
        <v>1</v>
      </c>
      <c r="E110" s="30" t="s">
        <v>59</v>
      </c>
      <c r="F110" s="24">
        <v>4</v>
      </c>
    </row>
    <row r="111" spans="1:6" ht="15" x14ac:dyDescent="0.25">
      <c r="A111" s="23"/>
      <c r="B111" s="22"/>
      <c r="C111" s="26"/>
      <c r="D111" s="25"/>
      <c r="E111" s="31" t="s">
        <v>119</v>
      </c>
      <c r="F111" s="24"/>
    </row>
    <row r="112" spans="1:6" ht="15" x14ac:dyDescent="0.25">
      <c r="A112" s="23"/>
      <c r="B112" s="22"/>
      <c r="C112" s="26"/>
      <c r="D112" s="25"/>
      <c r="E112" s="31" t="s">
        <v>60</v>
      </c>
      <c r="F112" s="24"/>
    </row>
    <row r="113" spans="1:6" ht="15" x14ac:dyDescent="0.25">
      <c r="A113" s="23"/>
      <c r="B113" s="22"/>
      <c r="C113" s="26"/>
      <c r="D113" s="25"/>
      <c r="E113" s="31" t="s">
        <v>61</v>
      </c>
      <c r="F113" s="24"/>
    </row>
    <row r="115" spans="1:6" x14ac:dyDescent="0.25">
      <c r="E115" s="32"/>
    </row>
  </sheetData>
  <mergeCells count="85">
    <mergeCell ref="C100:C103"/>
    <mergeCell ref="C105:C108"/>
    <mergeCell ref="C110:C113"/>
    <mergeCell ref="C70:C73"/>
    <mergeCell ref="C75:C78"/>
    <mergeCell ref="C80:C83"/>
    <mergeCell ref="C85:C88"/>
    <mergeCell ref="C90:C93"/>
    <mergeCell ref="C95:C98"/>
    <mergeCell ref="C40:C43"/>
    <mergeCell ref="C45:C48"/>
    <mergeCell ref="C50:C53"/>
    <mergeCell ref="C55:C58"/>
    <mergeCell ref="C60:C63"/>
    <mergeCell ref="C65:C68"/>
    <mergeCell ref="D105:D108"/>
    <mergeCell ref="D110:D113"/>
    <mergeCell ref="C3:C6"/>
    <mergeCell ref="C8:C11"/>
    <mergeCell ref="C13:C16"/>
    <mergeCell ref="C17:C20"/>
    <mergeCell ref="C21:C24"/>
    <mergeCell ref="C25:C28"/>
    <mergeCell ref="C30:C33"/>
    <mergeCell ref="C35:C38"/>
    <mergeCell ref="D75:D78"/>
    <mergeCell ref="D80:D83"/>
    <mergeCell ref="D85:D88"/>
    <mergeCell ref="D90:D93"/>
    <mergeCell ref="D95:D98"/>
    <mergeCell ref="D100:D103"/>
    <mergeCell ref="D45:D48"/>
    <mergeCell ref="D50:D53"/>
    <mergeCell ref="D55:D58"/>
    <mergeCell ref="D60:D63"/>
    <mergeCell ref="D65:D68"/>
    <mergeCell ref="D70:D73"/>
    <mergeCell ref="F110:F113"/>
    <mergeCell ref="D3:D6"/>
    <mergeCell ref="D8:D11"/>
    <mergeCell ref="D13:D16"/>
    <mergeCell ref="D17:D20"/>
    <mergeCell ref="D21:D24"/>
    <mergeCell ref="D25:D28"/>
    <mergeCell ref="D30:D33"/>
    <mergeCell ref="D35:D38"/>
    <mergeCell ref="D40:D43"/>
    <mergeCell ref="F80:F83"/>
    <mergeCell ref="F85:F88"/>
    <mergeCell ref="F90:F93"/>
    <mergeCell ref="F95:F98"/>
    <mergeCell ref="F100:F103"/>
    <mergeCell ref="F105:F108"/>
    <mergeCell ref="F75:F78"/>
    <mergeCell ref="F21:F24"/>
    <mergeCell ref="F25:F28"/>
    <mergeCell ref="F30:F33"/>
    <mergeCell ref="F35:F38"/>
    <mergeCell ref="F40:F43"/>
    <mergeCell ref="F45:F48"/>
    <mergeCell ref="F50:F53"/>
    <mergeCell ref="F55:F58"/>
    <mergeCell ref="F60:F63"/>
    <mergeCell ref="F65:F68"/>
    <mergeCell ref="F70:F73"/>
    <mergeCell ref="F3:F6"/>
    <mergeCell ref="F8:F11"/>
    <mergeCell ref="F13:F16"/>
    <mergeCell ref="F17:F20"/>
    <mergeCell ref="B3:B33"/>
    <mergeCell ref="B85:B98"/>
    <mergeCell ref="B100:B113"/>
    <mergeCell ref="A3:A33"/>
    <mergeCell ref="A35:A43"/>
    <mergeCell ref="A45:A48"/>
    <mergeCell ref="A50:A58"/>
    <mergeCell ref="A60:A68"/>
    <mergeCell ref="A70:A83"/>
    <mergeCell ref="A85:A98"/>
    <mergeCell ref="A100:A113"/>
    <mergeCell ref="B35:B43"/>
    <mergeCell ref="B45:B48"/>
    <mergeCell ref="B50:B58"/>
    <mergeCell ref="B60:B68"/>
    <mergeCell ref="B70:B83"/>
  </mergeCells>
  <conditionalFormatting sqref="D1:D1048576">
    <cfRule type="containsText" dxfId="2" priority="1" operator="containsText" text="2">
      <formula>NOT(ISERROR(SEARCH("2",D1)))</formula>
    </cfRule>
    <cfRule type="containsText" dxfId="1" priority="2" operator="containsText" text="1">
      <formula>NOT(ISERROR(SEARCH("1",D1)))</formula>
    </cfRule>
    <cfRule type="containsText" dxfId="0" priority="3" operator="containsText" text="0">
      <formula>NOT(ISERROR(SEARCH("0",D1)))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B0DD-3E49-4BA6-9B82-820F0455ED27}">
  <dimension ref="A1:M3"/>
  <sheetViews>
    <sheetView zoomScale="205" zoomScaleNormal="205" workbookViewId="0">
      <selection activeCell="B1" sqref="B1:D1"/>
    </sheetView>
  </sheetViews>
  <sheetFormatPr defaultRowHeight="14.4" x14ac:dyDescent="0.3"/>
  <cols>
    <col min="1" max="1" width="3" bestFit="1" customWidth="1"/>
    <col min="2" max="2" width="6.109375" bestFit="1" customWidth="1"/>
    <col min="3" max="3" width="1.6640625" bestFit="1" customWidth="1"/>
    <col min="4" max="5" width="7.109375" bestFit="1" customWidth="1"/>
    <col min="6" max="6" width="1.6640625" bestFit="1" customWidth="1"/>
    <col min="7" max="8" width="7.109375" bestFit="1" customWidth="1"/>
    <col min="9" max="9" width="1.6640625" bestFit="1" customWidth="1"/>
    <col min="10" max="11" width="7.109375" bestFit="1" customWidth="1"/>
    <col min="12" max="12" width="1.6640625" bestFit="1" customWidth="1"/>
    <col min="13" max="13" width="8.109375" bestFit="1" customWidth="1"/>
  </cols>
  <sheetData>
    <row r="1" spans="1:13" x14ac:dyDescent="0.3">
      <c r="A1" s="1"/>
      <c r="B1" s="27">
        <v>2</v>
      </c>
      <c r="C1" s="27"/>
      <c r="D1" s="27"/>
      <c r="E1" s="27">
        <v>3</v>
      </c>
      <c r="F1" s="27"/>
      <c r="G1" s="27"/>
      <c r="H1" s="27">
        <v>4</v>
      </c>
      <c r="I1" s="27"/>
      <c r="J1" s="27"/>
      <c r="K1" s="27">
        <v>5</v>
      </c>
      <c r="L1" s="27"/>
      <c r="M1" s="27"/>
    </row>
    <row r="2" spans="1:13" x14ac:dyDescent="0.3">
      <c r="A2" s="1"/>
      <c r="B2" s="2">
        <v>0</v>
      </c>
      <c r="C2" s="3" t="s">
        <v>62</v>
      </c>
      <c r="D2" s="4">
        <v>0.49990000000000001</v>
      </c>
      <c r="E2" s="2">
        <v>0.5</v>
      </c>
      <c r="F2" s="3" t="s">
        <v>62</v>
      </c>
      <c r="G2" s="4">
        <v>0.64990000000000003</v>
      </c>
      <c r="H2" s="2">
        <v>0.65</v>
      </c>
      <c r="I2" s="3" t="s">
        <v>62</v>
      </c>
      <c r="J2" s="4">
        <v>0.89990000000000003</v>
      </c>
      <c r="K2" s="2">
        <v>0.9</v>
      </c>
      <c r="L2" s="3" t="s">
        <v>62</v>
      </c>
      <c r="M2" s="4">
        <v>1</v>
      </c>
    </row>
    <row r="3" spans="1:13" x14ac:dyDescent="0.3">
      <c r="A3" s="1">
        <v>80</v>
      </c>
      <c r="B3" s="5">
        <v>0</v>
      </c>
      <c r="C3" s="6" t="s">
        <v>62</v>
      </c>
      <c r="D3" s="7">
        <f>$A$3*D2</f>
        <v>39.992000000000004</v>
      </c>
      <c r="E3" s="7">
        <f>$A$3*E2</f>
        <v>40</v>
      </c>
      <c r="F3" s="6" t="s">
        <v>62</v>
      </c>
      <c r="G3" s="7">
        <f>$A$3*G2</f>
        <v>51.992000000000004</v>
      </c>
      <c r="H3" s="7">
        <f>$A$3*H2</f>
        <v>52</v>
      </c>
      <c r="I3" s="6" t="s">
        <v>62</v>
      </c>
      <c r="J3" s="7">
        <f>$A$3*J2</f>
        <v>71.992000000000004</v>
      </c>
      <c r="K3" s="7">
        <f>$A$3*K2</f>
        <v>72</v>
      </c>
      <c r="L3" s="6" t="s">
        <v>62</v>
      </c>
      <c r="M3" s="7">
        <f>$A$3*M2</f>
        <v>80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</vt:lpstr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</dc:creator>
  <cp:lastModifiedBy>user</cp:lastModifiedBy>
  <dcterms:created xsi:type="dcterms:W3CDTF">2025-06-20T17:57:00Z</dcterms:created>
  <dcterms:modified xsi:type="dcterms:W3CDTF">2026-04-08T06:13:44Z</dcterms:modified>
</cp:coreProperties>
</file>